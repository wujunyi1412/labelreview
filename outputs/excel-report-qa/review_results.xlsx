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图片明细" sheetId="1" r:id="rId1"/>
    <sheet name="图片级汇总" sheetId="2" r:id="rId2"/>
    <sheet name="标注框汇总" sheetId="3" r:id="rId3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1"/>
      <name val="Microsoft YaHei"/>
      <family val="2"/>
    </font>
    <font>
      <b/>
      <color rgb="FFFFFFFF"/>
      <sz val="15"/>
      <name val="Microsoft YaHei"/>
    </font>
    <font>
      <b/>
      <color rgb="FFFFFFFF"/>
      <sz val="11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174E5C"/>
        <bgColor indexed="64"/>
      </patternFill>
    </fill>
    <fill>
      <patternFill patternType="solid">
        <fgColor rgb="FF287C8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7E1E5"/>
      </left>
      <right style="thin">
        <color rgb="FFD7E1E5"/>
      </right>
      <top style="thin">
        <color rgb="FFD7E1E5"/>
      </top>
      <bottom style="thin">
        <color rgb="FFD7E1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0" fillId="0" borderId="1" xfId="0" applyAlignment="1">
      <alignment vertical="center" wrapText="1"/>
    </xf>
    <xf numFmtId="0" fontId="0" fillId="0" borderId="1" xfId="0" applyAlignment="1">
      <alignment horizontal="center" vertical="center"/>
    </xf>
    <xf numFmtId="0" fontId="0" fillId="4" borderId="1" xfId="0" applyAlignment="1">
      <alignment horizontal="center" vertical="center"/>
    </xf>
    <xf numFmtId="0" fontId="0" fillId="5" borderId="1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8"/>
  <cols>
    <col min="1" max="1" width="56" customWidth="1"/>
    <col min="2" max="2" width="28" customWidth="1"/>
    <col min="3" max="3" width="34" customWidth="1"/>
    <col min="4" max="4" width="34" customWidth="1"/>
    <col min="5" max="5" width="24" customWidth="1"/>
    <col min="6" max="6" width="23" customWidth="1"/>
    <col min="7" max="7" width="23" customWidth="1"/>
    <col min="8" max="8" width="23" customWidth="1"/>
  </cols>
  <sheetData>
    <row r="1" ht="28" customHeight="1">
      <c r="A1" s="1" t="inlineStr">
        <is>
          <t xml:space="preserve">图片检测明细</t>
        </is>
      </c>
    </row>
    <row r="2" ht="20" customHeight="1">
      <c r="A2" s="2" t="inlineStr">
        <is>
          <t xml:space="preserve">图片路径</t>
        </is>
      </c>
      <c r="B2" s="2" t="inlineStr">
        <is>
          <t xml:space="preserve">图片名称</t>
        </is>
      </c>
      <c r="C2" s="2" t="inlineStr">
        <is>
          <t xml:space="preserve">漏检标注信息</t>
        </is>
      </c>
      <c r="D2" s="2" t="inlineStr">
        <is>
          <t xml:space="preserve">误检标注信息</t>
        </is>
      </c>
      <c r="E2" s="2" t="inlineStr">
        <is>
          <t xml:space="preserve">人工判定模型结果</t>
        </is>
      </c>
      <c r="F2" s="2" t="inlineStr">
        <is>
          <t xml:space="preserve">模型判定图片结果</t>
        </is>
      </c>
      <c r="G2" s="2" t="inlineStr">
        <is>
          <t xml:space="preserve">人工判定图片结果</t>
        </is>
      </c>
      <c r="H2" s="2" t="inlineStr">
        <is>
          <t xml:space="preserve">模型判断是否正确</t>
        </is>
      </c>
    </row>
    <row r="3" ht="20" customHeight="1">
      <c r="A3" s="3" t="inlineStr">
        <is>
          <t xml:space="preserve">D:\samples\line1\image001.png</t>
        </is>
      </c>
      <c r="B3" s="3" t="inlineStr">
        <is>
          <t xml:space="preserve">image001.png</t>
        </is>
      </c>
      <c r="C3" s="3" t="inlineStr">
        <is>
          <t xml:space="preserve">2*类别1</t>
        </is>
      </c>
      <c r="D3" s="3" t="inlineStr">
        <is>
          <t xml:space="preserve">1*类别2</t>
        </is>
      </c>
      <c r="E3" s="6" t="inlineStr">
        <is>
          <t xml:space="preserve">误检+漏检</t>
        </is>
      </c>
      <c r="F3" s="4" t="inlineStr">
        <is>
          <t xml:space="preserve">NG</t>
        </is>
      </c>
      <c r="G3" s="4" t="inlineStr">
        <is>
          <t xml:space="preserve">OK</t>
        </is>
      </c>
      <c r="H3" s="6" t="str">
        <f>IF(F3=G3,"正确","错误")</f>
        <v>错误</v>
      </c>
    </row>
    <row r="4" ht="20" customHeight="1">
      <c r="A4" s="3" t="inlineStr">
        <is>
          <t xml:space="preserve">D:\samples\line1\image002.jpg</t>
        </is>
      </c>
      <c r="B4" s="3" t="inlineStr">
        <is>
          <t xml:space="preserve">image002.jpg</t>
        </is>
      </c>
      <c r="C4" s="3" t="inlineStr">
        <is>
          <t xml:space="preserve">0</t>
        </is>
      </c>
      <c r="D4" s="3" t="inlineStr">
        <is>
          <t xml:space="preserve">1*类别2+1*类别3</t>
        </is>
      </c>
      <c r="E4" s="6" t="inlineStr">
        <is>
          <t xml:space="preserve">误检</t>
        </is>
      </c>
      <c r="F4" s="4" t="inlineStr">
        <is>
          <t xml:space="preserve">OK</t>
        </is>
      </c>
      <c r="G4" s="4" t="inlineStr">
        <is>
          <t xml:space="preserve">OK</t>
        </is>
      </c>
      <c r="H4" s="5" t="str">
        <f>IF(F4=G4,"正确","错误")</f>
        <v>正确</v>
      </c>
    </row>
    <row r="5" ht="20" customHeight="1">
      <c r="A5" s="3" t="inlineStr">
        <is>
          <t xml:space="preserve">D:\samples\line2\image003.bmp</t>
        </is>
      </c>
      <c r="B5" s="3" t="inlineStr">
        <is>
          <t xml:space="preserve">image003.bmp</t>
        </is>
      </c>
      <c r="C5" s="3" t="inlineStr">
        <is>
          <t xml:space="preserve">0</t>
        </is>
      </c>
      <c r="D5" s="3" t="inlineStr">
        <is>
          <t xml:space="preserve">0</t>
        </is>
      </c>
      <c r="E5" s="5" t="inlineStr">
        <is>
          <t xml:space="preserve">无漏检无误检</t>
        </is>
      </c>
      <c r="F5" s="4" t="inlineStr">
        <is>
          <t xml:space="preserve">NG</t>
        </is>
      </c>
      <c r="G5" s="4" t="inlineStr">
        <is>
          <t xml:space="preserve">NG</t>
        </is>
      </c>
      <c r="H5" s="5" t="str">
        <f>IF(F5=G5,"正确","错误")</f>
        <v>正确</v>
      </c>
    </row>
  </sheetData>
  <autoFilter ref="A2:H5"/>
  <mergeCells count="1">
    <mergeCell ref="A1:H1"/>
  </mergeCells>
  <pageMargins left="0.4" right="0.4" top="0.6" bottom="0.6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8"/>
  <cols>
    <col min="1" max="1" width="32" customWidth="1"/>
    <col min="2" max="2" width="18" customWidth="1"/>
  </cols>
  <sheetData>
    <row r="1" ht="28" customHeight="1">
      <c r="A1" s="1" t="inlineStr">
        <is>
          <t xml:space="preserve">图片级汇总</t>
        </is>
      </c>
    </row>
    <row r="3" ht="20" customHeight="1">
      <c r="A3" s="2" t="inlineStr">
        <is>
          <t xml:space="preserve">统计项目</t>
        </is>
      </c>
      <c r="B3" s="2" t="inlineStr">
        <is>
          <t xml:space="preserve">图片数量</t>
        </is>
      </c>
    </row>
    <row r="4" ht="20" customHeight="1">
      <c r="A4" s="3" t="inlineStr">
        <is>
          <t xml:space="preserve">总图片数</t>
        </is>
      </c>
      <c r="B4" s="4">
        <f>COUNTA('图片明细'!B3:B5)</f>
        <v>3</v>
      </c>
    </row>
    <row r="5" ht="20" customHeight="1">
      <c r="A5" s="3" t="inlineStr">
        <is>
          <t xml:space="preserve">有问题图片数</t>
        </is>
      </c>
      <c r="B5" s="4">
        <f>COUNTIF('图片明细'!E3:E5,"漏检")+COUNTIF('图片明细'!E3:E5,"误检")+COUNTIF('图片明细'!E3:E5,"误检+漏检")</f>
        <v>2</v>
      </c>
    </row>
    <row r="6" ht="20" customHeight="1">
      <c r="A6" s="3" t="inlineStr">
        <is>
          <t xml:space="preserve">只有漏检</t>
        </is>
      </c>
      <c r="B6" s="4">
        <f>COUNTIF('图片明细'!E3:E5,"漏检")</f>
        <v>0</v>
      </c>
    </row>
    <row r="7" ht="20" customHeight="1">
      <c r="A7" s="3" t="inlineStr">
        <is>
          <t xml:space="preserve">只有误检</t>
        </is>
      </c>
      <c r="B7" s="4">
        <f>COUNTIF('图片明细'!E3:E5,"误检")</f>
        <v>1</v>
      </c>
    </row>
    <row r="8" ht="20" customHeight="1">
      <c r="A8" s="3" t="inlineStr">
        <is>
          <t xml:space="preserve">同时有漏检和误检</t>
        </is>
      </c>
      <c r="B8" s="4">
        <f>COUNTIF('图片明细'!E3:E5,"误检+漏检")</f>
        <v>1</v>
      </c>
    </row>
    <row r="9" ht="20" customHeight="1">
      <c r="A9" s="3" t="inlineStr">
        <is>
          <t xml:space="preserve">没有问题</t>
        </is>
      </c>
      <c r="B9" s="4">
        <f>COUNTIF('图片明细'!E3:E5,"无漏检无误检")</f>
        <v>1</v>
      </c>
    </row>
  </sheetData>
  <mergeCells count="1">
    <mergeCell ref="A1:B1"/>
  </mergeCells>
  <pageMargins left="0.4" right="0.4" top="0.6" bottom="0.6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9" topLeftCell="A10" activePane="bottomLeft" state="frozen"/>
    </sheetView>
  </sheetViews>
  <sheetFormatPr defaultRowHeight="18"/>
  <cols>
    <col min="1" max="1" width="22" customWidth="1"/>
    <col min="2" max="2" width="30" customWidth="1"/>
    <col min="3" max="3" width="16" customWidth="1"/>
  </cols>
  <sheetData>
    <row r="1" ht="28" customHeight="1">
      <c r="A1" s="1" t="inlineStr">
        <is>
          <t xml:space="preserve">标注框级汇总</t>
        </is>
      </c>
    </row>
    <row r="3" ht="20" customHeight="1">
      <c r="A3" s="2" t="inlineStr">
        <is>
          <t xml:space="preserve">统计项目</t>
        </is>
      </c>
      <c r="B3" s="2" t="inlineStr">
        <is>
          <t xml:space="preserve">数量</t>
        </is>
      </c>
    </row>
    <row r="4" ht="20" customHeight="1">
      <c r="A4" s="3" t="inlineStr">
        <is>
          <t xml:space="preserve">漏检框总数</t>
        </is>
      </c>
      <c r="B4" s="4">
        <v>2</v>
      </c>
    </row>
    <row r="5" ht="20" customHeight="1">
      <c r="A5" s="3" t="inlineStr">
        <is>
          <t xml:space="preserve">漏检类别数</t>
        </is>
      </c>
      <c r="B5" s="4">
        <v>1</v>
      </c>
    </row>
    <row r="6" ht="20" customHeight="1">
      <c r="A6" s="3" t="inlineStr">
        <is>
          <t xml:space="preserve">误检框总数</t>
        </is>
      </c>
      <c r="B6" s="4">
        <v>3</v>
      </c>
    </row>
    <row r="7" ht="20" customHeight="1">
      <c r="A7" s="3" t="inlineStr">
        <is>
          <t xml:space="preserve">误检类别数</t>
        </is>
      </c>
      <c r="B7" s="4">
        <v>2</v>
      </c>
    </row>
    <row r="9" ht="20" customHeight="1">
      <c r="A9" s="2" t="inlineStr">
        <is>
          <t xml:space="preserve">问题类型</t>
        </is>
      </c>
      <c r="B9" s="2" t="inlineStr">
        <is>
          <t xml:space="preserve">类别</t>
        </is>
      </c>
      <c r="C9" s="2" t="inlineStr">
        <is>
          <t xml:space="preserve">框数量</t>
        </is>
      </c>
    </row>
    <row r="10" ht="20" customHeight="1">
      <c r="A10" s="3" t="inlineStr">
        <is>
          <t xml:space="preserve">漏检</t>
        </is>
      </c>
      <c r="B10" s="3" t="inlineStr">
        <is>
          <t xml:space="preserve">类别1</t>
        </is>
      </c>
      <c r="C10" s="4">
        <v>2</v>
      </c>
    </row>
    <row r="11" ht="20" customHeight="1">
      <c r="A11" s="3" t="inlineStr">
        <is>
          <t xml:space="preserve">误检</t>
        </is>
      </c>
      <c r="B11" s="3" t="inlineStr">
        <is>
          <t xml:space="preserve">类别2</t>
        </is>
      </c>
      <c r="C11" s="4">
        <v>2</v>
      </c>
    </row>
    <row r="12" ht="20" customHeight="1">
      <c r="A12" s="3" t="inlineStr">
        <is>
          <t xml:space="preserve">误检</t>
        </is>
      </c>
      <c r="B12" s="3" t="inlineStr">
        <is>
          <t xml:space="preserve">类别3</t>
        </is>
      </c>
      <c r="C12" s="4">
        <v>1</v>
      </c>
    </row>
  </sheetData>
  <autoFilter ref="A9:C12"/>
  <mergeCells count="1">
    <mergeCell ref="A1:C1"/>
  </mergeCells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LabelReviewer</Application>
  <AppVersion>1.0</AppVersion>
  <TitlesOfParts>
    <vt:vector size="3" baseType="lpstr">
      <vt:lpstr>图片明细</vt:lpstr>
      <vt:lpstr>图片级汇总</vt:lpstr>
      <vt:lpstr>标注框汇总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LabelReviewer</dc:creator>
  <cp:lastModifiedBy>LabelReviewer</cp:lastModifiedBy>
  <dcterms:created xsi:type="dcterms:W3CDTF">2026-08-25T09:32:05Z</dcterms:created>
  <dcterms:modified xsi:type="dcterms:W3CDTF">2026-08-25T09:32:05Z</dcterms:modified>
</cp:coreProperties>
</file>